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" sheetId="1" state="visible" r:id="rId1"/>
    <sheet name="Criteria" sheetId="2" state="visible" r:id="rId2"/>
    <sheet name="Settings" sheetId="3" state="visible" r:id="rId3"/>
    <sheet name="Log" sheetId="4" state="visible" r:id="rId4"/>
    <sheet name="Criteria History" sheetId="5" state="visible" r:id="rId5"/>
    <sheet name="Criteria Health" sheetId="6" state="visible" r:id="rId6"/>
    <sheet name="Second Attemp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0" customWidth="1" min="4" max="4"/>
    <col width="34" customWidth="1" min="5" max="5"/>
    <col width="13" customWidth="1" min="6" max="6"/>
    <col width="13" customWidth="1" min="7" max="7"/>
    <col width="13" customWidth="1" min="8" max="8"/>
    <col width="10" customWidth="1" min="9" max="9"/>
    <col width="70" customWidth="1" min="10" max="10"/>
    <col width="18" customWidth="1" min="11" max="11"/>
    <col width="18" customWidth="1" min="12" max="12"/>
    <col width="60" customWidth="1" min="13" max="13"/>
    <col width="26" customWidth="1" min="14" max="14"/>
    <col width="30" customWidth="1" min="15" max="15"/>
  </cols>
  <sheetData>
    <row r="1">
      <c r="A1" s="1" t="inlineStr">
        <is>
          <t>Line ID</t>
        </is>
      </c>
      <c r="B1" s="1" t="inlineStr">
        <is>
          <t>Entity</t>
        </is>
      </c>
      <c r="C1" s="1" t="inlineStr">
        <is>
          <t>Period</t>
        </is>
      </c>
      <c r="D1" s="1" t="inlineStr">
        <is>
          <t>Comparison basis</t>
        </is>
      </c>
      <c r="E1" s="1" t="inlineStr">
        <is>
          <t>Account</t>
        </is>
      </c>
      <c r="F1" s="1" t="inlineStr">
        <is>
          <t>Prior</t>
        </is>
      </c>
      <c r="G1" s="1" t="inlineStr">
        <is>
          <t>Current</t>
        </is>
      </c>
      <c r="H1" s="1" t="inlineStr">
        <is>
          <t>Variance ($)</t>
        </is>
      </c>
      <c r="I1" s="1" t="inlineStr">
        <is>
          <t>Variance (%)</t>
        </is>
      </c>
      <c r="J1" s="1" t="inlineStr">
        <is>
          <t>Commentary</t>
        </is>
      </c>
      <c r="K1" s="1" t="inlineStr">
        <is>
          <t>Status</t>
        </is>
      </c>
      <c r="L1" s="1" t="inlineStr">
        <is>
          <t>Failed criteria</t>
        </is>
      </c>
      <c r="M1" s="1" t="inlineStr">
        <is>
          <t>Feedback</t>
        </is>
      </c>
      <c r="N1" s="1" t="inlineStr">
        <is>
          <t>Override</t>
        </is>
      </c>
      <c r="O1" s="1" t="inlineStr">
        <is>
          <t>Override note</t>
        </is>
      </c>
    </row>
    <row r="2">
      <c r="A2" t="inlineStr">
        <is>
          <t>FHD-US|2026-09|MoM|4000</t>
        </is>
      </c>
      <c r="B2" t="inlineStr">
        <is>
          <t>FHD-US</t>
        </is>
      </c>
      <c r="C2" t="inlineStr">
        <is>
          <t>2026-09</t>
        </is>
      </c>
      <c r="D2" t="inlineStr">
        <is>
          <t>MoM</t>
        </is>
      </c>
      <c r="E2" t="inlineStr">
        <is>
          <t>4000 Subscription revenue</t>
        </is>
      </c>
      <c r="F2" s="2" t="n">
        <v>4431000</v>
      </c>
      <c r="G2" s="2" t="n">
        <v>4452000</v>
      </c>
      <c r="H2" s="2" t="n">
        <v>21000</v>
      </c>
      <c r="I2" s="3" t="n">
        <v>0.004739</v>
      </c>
      <c r="J2" s="4" t="inlineStr">
        <is>
          <t>Cobalt Insurance renewal uplift, partly offset by Lumen Retail churn.</t>
        </is>
      </c>
      <c r="K2" t="inlineStr"/>
      <c r="L2" t="inlineStr"/>
      <c r="M2" s="4" t="inlineStr"/>
      <c r="N2" t="inlineStr"/>
      <c r="O2" s="4" t="inlineStr"/>
    </row>
    <row r="3">
      <c r="A3" t="inlineStr">
        <is>
          <t>FHD-US|2026-09|MoM|4100</t>
        </is>
      </c>
      <c r="B3" t="inlineStr">
        <is>
          <t>FHD-US</t>
        </is>
      </c>
      <c r="C3" t="inlineStr">
        <is>
          <t>2026-09</t>
        </is>
      </c>
      <c r="D3" t="inlineStr">
        <is>
          <t>MoM</t>
        </is>
      </c>
      <c r="E3" t="inlineStr">
        <is>
          <t>4100 Usage revenue</t>
        </is>
      </c>
      <c r="F3" s="2" t="n">
        <v>371000</v>
      </c>
      <c r="G3" s="2" t="n">
        <v>402000</v>
      </c>
      <c r="H3" s="2" t="n">
        <v>31000</v>
      </c>
      <c r="I3" s="3" t="n">
        <v>0.08355799999999999</v>
      </c>
      <c r="J3" s="4" t="inlineStr">
        <is>
          <t>Orion Freight's overage grew another $31K as its second distribution region went live on Sep 8. It should continue at this level. See the September usage report UR-0926.</t>
        </is>
      </c>
      <c r="K3" t="inlineStr"/>
      <c r="L3" t="inlineStr"/>
      <c r="M3" s="4" t="inlineStr"/>
      <c r="N3" t="inlineStr"/>
      <c r="O3" s="4" t="inlineStr"/>
    </row>
    <row r="4">
      <c r="A4" t="inlineStr">
        <is>
          <t>FHD-US|2026-09|MoM|4200</t>
        </is>
      </c>
      <c r="B4" t="inlineStr">
        <is>
          <t>FHD-US</t>
        </is>
      </c>
      <c r="C4" t="inlineStr">
        <is>
          <t>2026-09</t>
        </is>
      </c>
      <c r="D4" t="inlineStr">
        <is>
          <t>MoM</t>
        </is>
      </c>
      <c r="E4" t="inlineStr">
        <is>
          <t>4200 Professional services revenue</t>
        </is>
      </c>
      <c r="F4" s="2" t="n">
        <v>198000</v>
      </c>
      <c r="G4" s="2" t="n">
        <v>176000</v>
      </c>
      <c r="H4" s="2" t="n">
        <v>-22000</v>
      </c>
      <c r="I4" s="3" t="n">
        <v>-0.111111</v>
      </c>
      <c r="J4" s="4" t="inlineStr">
        <is>
          <t>Down $22K because time-and-materials hours on the Orion Freight rollout fell as the project wound down (186 hours against 410 in August). The October milestone (MS-4) will lift PS revenue again. See the PS hours report for September.</t>
        </is>
      </c>
      <c r="K4" t="inlineStr"/>
      <c r="L4" t="inlineStr"/>
      <c r="M4" s="4" t="inlineStr"/>
      <c r="N4" t="inlineStr"/>
      <c r="O4" s="4" t="inlineStr"/>
    </row>
    <row r="5">
      <c r="A5" t="inlineStr">
        <is>
          <t>FHD-US|2026-09|MoM|5000</t>
        </is>
      </c>
      <c r="B5" t="inlineStr">
        <is>
          <t>FHD-US</t>
        </is>
      </c>
      <c r="C5" t="inlineStr">
        <is>
          <t>2026-09</t>
        </is>
      </c>
      <c r="D5" t="inlineStr">
        <is>
          <t>MoM</t>
        </is>
      </c>
      <c r="E5" t="inlineStr">
        <is>
          <t>5000 Cloud hosting</t>
        </is>
      </c>
      <c r="F5" s="2" t="n">
        <v>409000</v>
      </c>
      <c r="G5" s="2" t="n">
        <v>457500</v>
      </c>
      <c r="H5" s="2" t="n">
        <v>48500</v>
      </c>
      <c r="I5" s="3" t="n">
        <v>0.118582</v>
      </c>
      <c r="J5" s="4" t="inlineStr">
        <is>
          <t>Hosting rose $48.5K because of a one-off data load during the month. One-time: the load finished Sep 24. See invoice SC-0930.</t>
        </is>
      </c>
      <c r="K5" t="inlineStr"/>
      <c r="L5" t="inlineStr"/>
      <c r="M5" s="4" t="inlineStr"/>
      <c r="N5" t="inlineStr"/>
      <c r="O5" s="4" t="inlineStr"/>
    </row>
    <row r="6">
      <c r="A6" t="inlineStr">
        <is>
          <t>FHD-US|2026-09|MoM|5050</t>
        </is>
      </c>
      <c r="B6" t="inlineStr">
        <is>
          <t>FHD-US</t>
        </is>
      </c>
      <c r="C6" t="inlineStr">
        <is>
          <t>2026-09</t>
        </is>
      </c>
      <c r="D6" t="inlineStr">
        <is>
          <t>MoM</t>
        </is>
      </c>
      <c r="E6" t="inlineStr">
        <is>
          <t>5050 Third-party data licenses</t>
        </is>
      </c>
      <c r="F6" s="2" t="n">
        <v>96000</v>
      </c>
      <c r="G6" s="2" t="n">
        <v>118000</v>
      </c>
      <c r="H6" s="2" t="n">
        <v>22000</v>
      </c>
      <c r="I6" s="3" t="n">
        <v>0.229167</v>
      </c>
      <c r="J6" s="4" t="inlineStr">
        <is>
          <t>Meridian Atlas raised the price of our freight-lane data feed at the Sep 1 renewal, adding $22K a month for the 12-month term. Recurring. See Meridian renewal order MA-2026-09.</t>
        </is>
      </c>
      <c r="K6" t="inlineStr"/>
      <c r="L6" t="inlineStr"/>
      <c r="M6" s="4" t="inlineStr"/>
      <c r="N6" t="inlineStr"/>
      <c r="O6" s="4" t="inlineStr"/>
    </row>
    <row r="7">
      <c r="A7" t="inlineStr">
        <is>
          <t>FHD-US|2026-09|MoM|5100</t>
        </is>
      </c>
      <c r="B7" t="inlineStr">
        <is>
          <t>FHD-US</t>
        </is>
      </c>
      <c r="C7" t="inlineStr">
        <is>
          <t>2026-09</t>
        </is>
      </c>
      <c r="D7" t="inlineStr">
        <is>
          <t>MoM</t>
        </is>
      </c>
      <c r="E7" t="inlineStr">
        <is>
          <t>5100 Support salaries</t>
        </is>
      </c>
      <c r="F7" s="2" t="n">
        <v>431000</v>
      </c>
      <c r="G7" s="2" t="n">
        <v>433000</v>
      </c>
      <c r="H7" s="2" t="n">
        <v>2000</v>
      </c>
      <c r="I7" s="3" t="n">
        <v>0.00464</v>
      </c>
      <c r="J7" s="4" t="inlineStr"/>
      <c r="K7" t="inlineStr"/>
      <c r="L7" t="inlineStr"/>
      <c r="M7" s="4" t="inlineStr"/>
      <c r="N7" t="inlineStr"/>
      <c r="O7" s="4" t="inlineStr"/>
    </row>
    <row r="8">
      <c r="A8" t="inlineStr">
        <is>
          <t>FHD-US|2026-09|MoM|5200</t>
        </is>
      </c>
      <c r="B8" t="inlineStr">
        <is>
          <t>FHD-US</t>
        </is>
      </c>
      <c r="C8" t="inlineStr">
        <is>
          <t>2026-09</t>
        </is>
      </c>
      <c r="D8" t="inlineStr">
        <is>
          <t>MoM</t>
        </is>
      </c>
      <c r="E8" t="inlineStr">
        <is>
          <t>5200 Implementation contractors</t>
        </is>
      </c>
      <c r="F8" s="2" t="n">
        <v>71000</v>
      </c>
      <c r="G8" s="2" t="n">
        <v>58000</v>
      </c>
      <c r="H8" s="2" t="n">
        <v>-13000</v>
      </c>
      <c r="I8" s="3" t="n">
        <v>-0.183099</v>
      </c>
      <c r="J8" s="4" t="inlineStr">
        <is>
          <t>Down $13K: Brightwave Labs' onboarding support for Kittiwake Logistics ended Sep 12 (PO 4490 closed). No further spend on that PO. See the PO closure note.</t>
        </is>
      </c>
      <c r="K8" t="inlineStr"/>
      <c r="L8" t="inlineStr"/>
      <c r="M8" s="4" t="inlineStr"/>
      <c r="N8" t="inlineStr"/>
      <c r="O8" s="4" t="inlineStr"/>
    </row>
    <row r="9">
      <c r="A9" t="inlineStr">
        <is>
          <t>FHD-US|2026-09|MoM|6000|PLAT</t>
        </is>
      </c>
      <c r="B9" t="inlineStr">
        <is>
          <t>FHD-US</t>
        </is>
      </c>
      <c r="C9" t="inlineStr">
        <is>
          <t>2026-09</t>
        </is>
      </c>
      <c r="D9" t="inlineStr">
        <is>
          <t>MoM</t>
        </is>
      </c>
      <c r="E9" t="inlineStr">
        <is>
          <t>6000 Engineering salaries (Platform)</t>
        </is>
      </c>
      <c r="F9" s="2" t="n">
        <v>1019000</v>
      </c>
      <c r="G9" s="2" t="n">
        <v>1047000</v>
      </c>
      <c r="H9" s="2" t="n">
        <v>28000</v>
      </c>
      <c r="I9" s="3" t="n">
        <v>0.027478</v>
      </c>
      <c r="J9" s="4" t="inlineStr">
        <is>
          <t>Up $28K: two platform engineers hired in August started Sep 1 ($28K a month combined). Recurring. See headcount report HC-09.</t>
        </is>
      </c>
      <c r="K9" t="inlineStr"/>
      <c r="L9" t="inlineStr"/>
      <c r="M9" s="4" t="inlineStr"/>
      <c r="N9" t="inlineStr"/>
      <c r="O9" s="4" t="inlineStr"/>
    </row>
    <row r="10">
      <c r="A10" t="inlineStr">
        <is>
          <t>FHD-US|2026-09|MoM|6000|APPS</t>
        </is>
      </c>
      <c r="B10" t="inlineStr">
        <is>
          <t>FHD-US</t>
        </is>
      </c>
      <c r="C10" t="inlineStr">
        <is>
          <t>2026-09</t>
        </is>
      </c>
      <c r="D10" t="inlineStr">
        <is>
          <t>MoM</t>
        </is>
      </c>
      <c r="E10" t="inlineStr">
        <is>
          <t>6000 Engineering salaries (Applications)</t>
        </is>
      </c>
      <c r="F10" s="2" t="n">
        <v>736000</v>
      </c>
      <c r="G10" s="2" t="n">
        <v>741000</v>
      </c>
      <c r="H10" s="2" t="n">
        <v>5000</v>
      </c>
      <c r="I10" s="3" t="n">
        <v>0.006793</v>
      </c>
      <c r="J10" s="4" t="inlineStr">
        <is>
          <t>One promotion effective Sep 1.</t>
        </is>
      </c>
      <c r="K10" t="inlineStr"/>
      <c r="L10" t="inlineStr"/>
      <c r="M10" s="4" t="inlineStr"/>
      <c r="N10" t="inlineStr"/>
      <c r="O10" s="4" t="inlineStr"/>
    </row>
    <row r="11">
      <c r="A11" t="inlineStr">
        <is>
          <t>FHD-US|2026-09|MoM|6010</t>
        </is>
      </c>
      <c r="B11" t="inlineStr">
        <is>
          <t>FHD-US</t>
        </is>
      </c>
      <c r="C11" t="inlineStr">
        <is>
          <t>2026-09</t>
        </is>
      </c>
      <c r="D11" t="inlineStr">
        <is>
          <t>MoM</t>
        </is>
      </c>
      <c r="E11" t="inlineStr">
        <is>
          <t>6010 Engineering bonuses</t>
        </is>
      </c>
      <c r="F11" s="2" t="n">
        <v>120000</v>
      </c>
      <c r="G11" s="2" t="n">
        <v>120000</v>
      </c>
      <c r="H11" s="2" t="n">
        <v>0</v>
      </c>
      <c r="I11" s="3" t="n">
        <v>0</v>
      </c>
      <c r="J11" s="4" t="inlineStr">
        <is>
          <t>Flat at the monthly accrual.</t>
        </is>
      </c>
      <c r="K11" t="inlineStr"/>
      <c r="L11" t="inlineStr"/>
      <c r="M11" s="4" t="inlineStr"/>
      <c r="N11" t="inlineStr"/>
      <c r="O11" s="4" t="inlineStr"/>
    </row>
    <row r="12">
      <c r="A12" t="inlineStr">
        <is>
          <t>FHD-US|2026-09|MoM|6050</t>
        </is>
      </c>
      <c r="B12" t="inlineStr">
        <is>
          <t>FHD-US</t>
        </is>
      </c>
      <c r="C12" t="inlineStr">
        <is>
          <t>2026-09</t>
        </is>
      </c>
      <c r="D12" t="inlineStr">
        <is>
          <t>MoM</t>
        </is>
      </c>
      <c r="E12" t="inlineStr">
        <is>
          <t>6050 Engineering contractors</t>
        </is>
      </c>
      <c r="F12" s="2" t="n">
        <v>96000</v>
      </c>
      <c r="G12" s="2" t="n">
        <v>68000</v>
      </c>
      <c r="H12" s="2" t="n">
        <v>-28000</v>
      </c>
      <c r="I12" s="3" t="n">
        <v>-0.291667</v>
      </c>
      <c r="J12" s="4" t="inlineStr">
        <is>
          <t>Down $28K because the Brightwave Labs connector engagement ended Aug 31 as planned (SOW-204). Nothing replaces it this quarter. See the SOW close-out memo.</t>
        </is>
      </c>
      <c r="K12" t="inlineStr"/>
      <c r="L12" t="inlineStr"/>
      <c r="M12" s="4" t="inlineStr"/>
      <c r="N12" t="inlineStr"/>
      <c r="O12" s="4" t="inlineStr"/>
    </row>
    <row r="13">
      <c r="A13" t="inlineStr">
        <is>
          <t>FHD-US|2026-09|MoM|6100</t>
        </is>
      </c>
      <c r="B13" t="inlineStr">
        <is>
          <t>FHD-US</t>
        </is>
      </c>
      <c r="C13" t="inlineStr">
        <is>
          <t>2026-09</t>
        </is>
      </c>
      <c r="D13" t="inlineStr">
        <is>
          <t>MoM</t>
        </is>
      </c>
      <c r="E13" t="inlineStr">
        <is>
          <t>6100 Software subscriptions</t>
        </is>
      </c>
      <c r="F13" s="2" t="n">
        <v>126000</v>
      </c>
      <c r="G13" s="2" t="n">
        <v>129000</v>
      </c>
      <c r="H13" s="2" t="n">
        <v>3000</v>
      </c>
      <c r="I13" s="3" t="n">
        <v>0.02381</v>
      </c>
      <c r="J13" s="4" t="inlineStr"/>
      <c r="K13" t="inlineStr"/>
      <c r="L13" t="inlineStr"/>
      <c r="M13" s="4" t="inlineStr"/>
      <c r="N13" t="inlineStr"/>
      <c r="O13" s="4" t="inlineStr"/>
    </row>
    <row r="14">
      <c r="A14" t="inlineStr">
        <is>
          <t>FHD-US|2026-09|MoM|6200</t>
        </is>
      </c>
      <c r="B14" t="inlineStr">
        <is>
          <t>FHD-US</t>
        </is>
      </c>
      <c r="C14" t="inlineStr">
        <is>
          <t>2026-09</t>
        </is>
      </c>
      <c r="D14" t="inlineStr">
        <is>
          <t>MoM</t>
        </is>
      </c>
      <c r="E14" t="inlineStr">
        <is>
          <t>6200 Sales salaries</t>
        </is>
      </c>
      <c r="F14" s="2" t="n">
        <v>571000</v>
      </c>
      <c r="G14" s="2" t="n">
        <v>603000</v>
      </c>
      <c r="H14" s="2" t="n">
        <v>32000</v>
      </c>
      <c r="I14" s="3" t="n">
        <v>0.056042</v>
      </c>
      <c r="J14" s="4" t="inlineStr">
        <is>
          <t>Two sales development reps joined the Mid-Market team on Sep 2 under requisitions R-2230 and R-2231, which adds $32K a month going forward. See the September headcount report.</t>
        </is>
      </c>
      <c r="K14" t="inlineStr"/>
      <c r="L14" t="inlineStr"/>
      <c r="M14" s="4" t="inlineStr"/>
      <c r="N14" t="inlineStr"/>
      <c r="O14" s="4" t="inlineStr"/>
    </row>
    <row r="15">
      <c r="A15" t="inlineStr">
        <is>
          <t>FHD-US|2026-09|MoM|6210</t>
        </is>
      </c>
      <c r="B15" t="inlineStr">
        <is>
          <t>FHD-US</t>
        </is>
      </c>
      <c r="C15" t="inlineStr">
        <is>
          <t>2026-09</t>
        </is>
      </c>
      <c r="D15" t="inlineStr">
        <is>
          <t>MoM</t>
        </is>
      </c>
      <c r="E15" t="inlineStr">
        <is>
          <t>6210 Sales commissions</t>
        </is>
      </c>
      <c r="F15" s="2" t="n">
        <v>198000</v>
      </c>
      <c r="G15" s="2" t="n">
        <v>251000</v>
      </c>
      <c r="H15" s="2" t="n">
        <v>53000</v>
      </c>
      <c r="I15" s="3" t="n">
        <v>0.267677</v>
      </c>
      <c r="J15" s="4" t="inlineStr">
        <is>
          <t>Commissions up due to strong bookings.</t>
        </is>
      </c>
      <c r="K15" t="inlineStr"/>
      <c r="L15" t="inlineStr"/>
      <c r="M15" s="4" t="inlineStr"/>
      <c r="N15" t="inlineStr"/>
      <c r="O15" s="4" t="inlineStr"/>
    </row>
    <row r="16">
      <c r="A16" t="inlineStr">
        <is>
          <t>FHD-US|2026-09|MoM|6250</t>
        </is>
      </c>
      <c r="B16" t="inlineStr">
        <is>
          <t>FHD-US</t>
        </is>
      </c>
      <c r="C16" t="inlineStr">
        <is>
          <t>2026-09</t>
        </is>
      </c>
      <c r="D16" t="inlineStr">
        <is>
          <t>MoM</t>
        </is>
      </c>
      <c r="E16" t="inlineStr">
        <is>
          <t>6250 Marketing programs</t>
        </is>
      </c>
      <c r="F16" s="2" t="n">
        <v>214000</v>
      </c>
      <c r="G16" s="2" t="n">
        <v>209000</v>
      </c>
      <c r="H16" s="2" t="n">
        <v>-5000</v>
      </c>
      <c r="I16" s="3" t="n">
        <v>-0.023364</v>
      </c>
      <c r="J16" s="4" t="inlineStr">
        <is>
          <t>Webinar series continues.</t>
        </is>
      </c>
      <c r="K16" t="inlineStr"/>
      <c r="L16" t="inlineStr"/>
      <c r="M16" s="4" t="inlineStr"/>
      <c r="N16" t="inlineStr"/>
      <c r="O16" s="4" t="inlineStr"/>
    </row>
    <row r="17">
      <c r="A17" t="inlineStr">
        <is>
          <t>FHD-US|2026-09|MoM|6260</t>
        </is>
      </c>
      <c r="B17" t="inlineStr">
        <is>
          <t>FHD-US</t>
        </is>
      </c>
      <c r="C17" t="inlineStr">
        <is>
          <t>2026-09</t>
        </is>
      </c>
      <c r="D17" t="inlineStr">
        <is>
          <t>MoM</t>
        </is>
      </c>
      <c r="E17" t="inlineStr">
        <is>
          <t>6260 Events and sponsorships</t>
        </is>
      </c>
      <c r="F17" s="2" t="n">
        <v>9000</v>
      </c>
      <c r="G17" s="2" t="n">
        <v>41000</v>
      </c>
      <c r="H17" s="2" t="n">
        <v>32000</v>
      </c>
      <c r="I17" s="3" t="n">
        <v>3.555556</v>
      </c>
      <c r="J17" s="4" t="inlineStr">
        <is>
          <t>Up $32K for our sponsorship of the Fintech Data Forum in Chicago (Sep 23 to 24). One-time. See invoice FDF-0923.</t>
        </is>
      </c>
      <c r="K17" t="inlineStr"/>
      <c r="L17" t="inlineStr"/>
      <c r="M17" s="4" t="inlineStr"/>
      <c r="N17" t="inlineStr"/>
      <c r="O17" s="4" t="inlineStr"/>
    </row>
    <row r="18">
      <c r="A18" t="inlineStr">
        <is>
          <t>FHD-US|2026-09|MoM|6270</t>
        </is>
      </c>
      <c r="B18" t="inlineStr">
        <is>
          <t>FHD-US</t>
        </is>
      </c>
      <c r="C18" t="inlineStr">
        <is>
          <t>2026-09</t>
        </is>
      </c>
      <c r="D18" t="inlineStr">
        <is>
          <t>MoM</t>
        </is>
      </c>
      <c r="E18" t="inlineStr">
        <is>
          <t>6270 Paid search</t>
        </is>
      </c>
      <c r="F18" s="2" t="n">
        <v>69000</v>
      </c>
      <c r="G18" s="2" t="n">
        <v>72000</v>
      </c>
      <c r="H18" s="2" t="n">
        <v>3000</v>
      </c>
      <c r="I18" s="3" t="n">
        <v>0.043478</v>
      </c>
      <c r="J18" s="4" t="inlineStr"/>
      <c r="K18" t="inlineStr"/>
      <c r="L18" t="inlineStr"/>
      <c r="M18" s="4" t="inlineStr"/>
      <c r="N18" t="inlineStr"/>
      <c r="O18" s="4" t="inlineStr"/>
    </row>
    <row r="19">
      <c r="A19" t="inlineStr">
        <is>
          <t>FHD-US|2026-09|MoM|6300</t>
        </is>
      </c>
      <c r="B19" t="inlineStr">
        <is>
          <t>FHD-US</t>
        </is>
      </c>
      <c r="C19" t="inlineStr">
        <is>
          <t>2026-09</t>
        </is>
      </c>
      <c r="D19" t="inlineStr">
        <is>
          <t>MoM</t>
        </is>
      </c>
      <c r="E19" t="inlineStr">
        <is>
          <t>6300 G&amp;A salaries</t>
        </is>
      </c>
      <c r="F19" s="2" t="n">
        <v>515000</v>
      </c>
      <c r="G19" s="2" t="n">
        <v>547000</v>
      </c>
      <c r="H19" s="2" t="n">
        <v>32000</v>
      </c>
      <c r="I19" s="3" t="n">
        <v>0.062136</v>
      </c>
      <c r="J19" s="4" t="inlineStr">
        <is>
          <t>Our new VP Finance (placed by Ardent Search) started Sep 15, and a payroll specialist started Sep 1. Recurring. See headcount report HC-09.</t>
        </is>
      </c>
      <c r="K19" t="inlineStr"/>
      <c r="L19" t="inlineStr"/>
      <c r="M19" s="4" t="inlineStr"/>
      <c r="N19" t="inlineStr"/>
      <c r="O19" s="4" t="inlineStr"/>
    </row>
    <row r="20">
      <c r="A20" t="inlineStr">
        <is>
          <t>FHD-US|2026-09|MoM|6310</t>
        </is>
      </c>
      <c r="B20" t="inlineStr">
        <is>
          <t>FHD-US</t>
        </is>
      </c>
      <c r="C20" t="inlineStr">
        <is>
          <t>2026-09</t>
        </is>
      </c>
      <c r="D20" t="inlineStr">
        <is>
          <t>MoM</t>
        </is>
      </c>
      <c r="E20" t="inlineStr">
        <is>
          <t>6310 Recruiting fees</t>
        </is>
      </c>
      <c r="F20" s="2" t="n">
        <v>64000</v>
      </c>
      <c r="G20" s="2" t="n">
        <v>27000</v>
      </c>
      <c r="H20" s="2" t="n">
        <v>-37000</v>
      </c>
      <c r="I20" s="3" t="n">
        <v>-0.578125</v>
      </c>
      <c r="J20" s="4" t="inlineStr">
        <is>
          <t>Down $37K: no agency fees this month after August's Ardent Search installment ($13K) and Fenwick Talent placement ($13K), and we moved the job-board plan to a lower tier on Sep 1 ($11K a month less, recurring). See the September AP detail.</t>
        </is>
      </c>
      <c r="K20" t="inlineStr"/>
      <c r="L20" t="inlineStr"/>
      <c r="M20" s="4" t="inlineStr"/>
      <c r="N20" t="inlineStr"/>
      <c r="O20" s="4" t="inlineStr"/>
    </row>
    <row r="21">
      <c r="A21" t="inlineStr">
        <is>
          <t>FHD-US|2026-09|MoM|6320</t>
        </is>
      </c>
      <c r="B21" t="inlineStr">
        <is>
          <t>FHD-US</t>
        </is>
      </c>
      <c r="C21" t="inlineStr">
        <is>
          <t>2026-09</t>
        </is>
      </c>
      <c r="D21" t="inlineStr">
        <is>
          <t>MoM</t>
        </is>
      </c>
      <c r="E21" t="inlineStr">
        <is>
          <t>6320 Legal fees</t>
        </is>
      </c>
      <c r="F21" s="2" t="n">
        <v>88000</v>
      </c>
      <c r="G21" s="2" t="n">
        <v>52000</v>
      </c>
      <c r="H21" s="2" t="n">
        <v>-36000</v>
      </c>
      <c r="I21" s="3" t="n">
        <v>-0.409091</v>
      </c>
      <c r="J21" s="4" t="inlineStr">
        <is>
          <t>The Vantage Resale arbitration settled on Sep 4 before the hearing, so Harbor &amp; Lane's September bill was $36K lower than August's. Legal fees should fall to the $52K baseline from October. See settlement agreement SA-0904 and invoice HL-7801.</t>
        </is>
      </c>
      <c r="K21" t="inlineStr"/>
      <c r="L21" t="inlineStr"/>
      <c r="M21" s="4" t="inlineStr"/>
      <c r="N21" t="inlineStr"/>
      <c r="O21" s="4" t="inlineStr"/>
    </row>
    <row r="22">
      <c r="A22" t="inlineStr">
        <is>
          <t>FHD-US|2026-09|MoM|6330</t>
        </is>
      </c>
      <c r="B22" t="inlineStr">
        <is>
          <t>FHD-US</t>
        </is>
      </c>
      <c r="C22" t="inlineStr">
        <is>
          <t>2026-09</t>
        </is>
      </c>
      <c r="D22" t="inlineStr">
        <is>
          <t>MoM</t>
        </is>
      </c>
      <c r="E22" t="inlineStr">
        <is>
          <t>6330 Audit and tax fees</t>
        </is>
      </c>
      <c r="F22" s="2" t="n">
        <v>41000</v>
      </c>
      <c r="G22" s="2" t="n">
        <v>96000</v>
      </c>
      <c r="H22" s="2" t="n">
        <v>55000</v>
      </c>
      <c r="I22" s="3" t="n">
        <v>1.341463</v>
      </c>
      <c r="J22" s="4" t="inlineStr">
        <is>
          <t>Ashgrove Assurance began SOC 2 Type II fieldwork on Sep 8 ($48K), and we accrued Calder &amp; Moss's Q3 review fee ($7K). Fieldwork fees end in October; the review fee recurs quarterly. See engagement letter EL-2026-SOC2 and JE 9-044.</t>
        </is>
      </c>
      <c r="K22" t="inlineStr"/>
      <c r="L22" t="inlineStr"/>
      <c r="M22" s="4" t="inlineStr"/>
      <c r="N22" t="inlineStr"/>
      <c r="O22" s="4" t="inlineStr"/>
    </row>
    <row r="23">
      <c r="A23" t="inlineStr">
        <is>
          <t>FHD-US|2026-09|MoM|6340</t>
        </is>
      </c>
      <c r="B23" t="inlineStr">
        <is>
          <t>FHD-US</t>
        </is>
      </c>
      <c r="C23" t="inlineStr">
        <is>
          <t>2026-09</t>
        </is>
      </c>
      <c r="D23" t="inlineStr">
        <is>
          <t>MoM</t>
        </is>
      </c>
      <c r="E23" t="inlineStr">
        <is>
          <t>6340 Insurance</t>
        </is>
      </c>
      <c r="F23" s="2" t="n">
        <v>71500</v>
      </c>
      <c r="G23" s="2" t="n">
        <v>79000</v>
      </c>
      <c r="H23" s="2" t="n">
        <v>7500</v>
      </c>
      <c r="I23" s="3" t="n">
        <v>0.104895</v>
      </c>
      <c r="J23" s="4" t="inlineStr">
        <is>
          <t>We added a $5M cyber excess layer with Kestrel Mutual on Sep 1 after the SOC 2 scoping review, adding $7,500 a month for the rest of the policy year. See endorsement KM-END-3.</t>
        </is>
      </c>
      <c r="K23" t="inlineStr"/>
      <c r="L23" t="inlineStr"/>
      <c r="M23" s="4" t="inlineStr"/>
      <c r="N23" t="inlineStr"/>
      <c r="O23" s="4" t="inlineStr"/>
    </row>
    <row r="24">
      <c r="A24" t="inlineStr">
        <is>
          <t>FHD-US|2026-09|MoM|6350</t>
        </is>
      </c>
      <c r="B24" t="inlineStr">
        <is>
          <t>FHD-US</t>
        </is>
      </c>
      <c r="C24" t="inlineStr">
        <is>
          <t>2026-09</t>
        </is>
      </c>
      <c r="D24" t="inlineStr">
        <is>
          <t>MoM</t>
        </is>
      </c>
      <c r="E24" t="inlineStr">
        <is>
          <t>6350 Rent and facilities</t>
        </is>
      </c>
      <c r="F24" s="2" t="n">
        <v>285000</v>
      </c>
      <c r="G24" s="2" t="n">
        <v>294000</v>
      </c>
      <c r="H24" s="2" t="n">
        <v>9000</v>
      </c>
      <c r="I24" s="3" t="n">
        <v>0.031579</v>
      </c>
      <c r="J24" s="4" t="inlineStr">
        <is>
          <t>Annual CAM reconciliation.</t>
        </is>
      </c>
      <c r="K24" t="inlineStr"/>
      <c r="L24" t="inlineStr"/>
      <c r="M24" s="4" t="inlineStr"/>
      <c r="N24" t="inlineStr"/>
      <c r="O24" s="4" t="inlineStr"/>
    </row>
    <row r="25">
      <c r="A25" t="inlineStr">
        <is>
          <t>FHD-US|2026-09|MoM|6360</t>
        </is>
      </c>
      <c r="B25" t="inlineStr">
        <is>
          <t>FHD-US</t>
        </is>
      </c>
      <c r="C25" t="inlineStr">
        <is>
          <t>2026-09</t>
        </is>
      </c>
      <c r="D25" t="inlineStr">
        <is>
          <t>MoM</t>
        </is>
      </c>
      <c r="E25" t="inlineStr">
        <is>
          <t>6360 Travel and entertainment</t>
        </is>
      </c>
      <c r="F25" s="2" t="n">
        <v>131000</v>
      </c>
      <c r="G25" s="2" t="n">
        <v>83000</v>
      </c>
      <c r="H25" s="2" t="n">
        <v>-48000</v>
      </c>
      <c r="I25" s="3" t="n">
        <v>-0.366412</v>
      </c>
      <c r="J25" s="4" t="inlineStr">
        <is>
          <t>Down $48K: the August sales kickoff ($30K) did not repeat, and customer travel was $18K lower with the Orion Freight rollout winding down. Expect October to stay at this level. See expense report ER-09.</t>
        </is>
      </c>
      <c r="K25" t="inlineStr"/>
      <c r="L25" t="inlineStr"/>
      <c r="M25" s="4" t="inlineStr"/>
      <c r="N25" t="inlineStr"/>
      <c r="O25" s="4" t="inlineStr"/>
    </row>
    <row r="26">
      <c r="A26" t="inlineStr">
        <is>
          <t>FHD-US|2026-09|MoM|6370</t>
        </is>
      </c>
      <c r="B26" t="inlineStr">
        <is>
          <t>FHD-US</t>
        </is>
      </c>
      <c r="C26" t="inlineStr">
        <is>
          <t>2026-09</t>
        </is>
      </c>
      <c r="D26" t="inlineStr">
        <is>
          <t>MoM</t>
        </is>
      </c>
      <c r="E26" t="inlineStr">
        <is>
          <t>6370 Bank and merchant fees</t>
        </is>
      </c>
      <c r="F26" s="2" t="n">
        <v>9900</v>
      </c>
      <c r="G26" s="2" t="n">
        <v>10300</v>
      </c>
      <c r="H26" s="2" t="n">
        <v>400</v>
      </c>
      <c r="I26" s="3" t="n">
        <v>0.040404</v>
      </c>
      <c r="J26" s="4" t="inlineStr"/>
      <c r="K26" t="inlineStr"/>
      <c r="L26" t="inlineStr"/>
      <c r="M26" s="4" t="inlineStr"/>
      <c r="N26" t="inlineStr"/>
      <c r="O26" s="4" t="inlineStr"/>
    </row>
    <row r="27">
      <c r="A27" t="inlineStr">
        <is>
          <t>FHD-US|2026-09|MoM|6380</t>
        </is>
      </c>
      <c r="B27" t="inlineStr">
        <is>
          <t>FHD-US</t>
        </is>
      </c>
      <c r="C27" t="inlineStr">
        <is>
          <t>2026-09</t>
        </is>
      </c>
      <c r="D27" t="inlineStr">
        <is>
          <t>MoM</t>
        </is>
      </c>
      <c r="E27" t="inlineStr">
        <is>
          <t>6380 Bad debt expense</t>
        </is>
      </c>
      <c r="F27" s="2" t="n">
        <v>6000</v>
      </c>
      <c r="G27" s="2" t="n">
        <v>-18000</v>
      </c>
      <c r="H27" s="2" t="n">
        <v>-24000</v>
      </c>
      <c r="I27" s="3" t="n">
        <v>-4</v>
      </c>
      <c r="J27" s="4" t="inlineStr">
        <is>
          <t>Down $24K: we recovered $18K of the reserved Lumen Retail balance from the bankruptcy estate's first distribution on Sep 19, and no general reserve was needed this month because AR over 90 days fell ($6K). The recovery is one-time; the general reserve returns when aging grows. See JE 9-061 and the AR aging.</t>
        </is>
      </c>
      <c r="K27" t="inlineStr"/>
      <c r="L27" t="inlineStr"/>
      <c r="M27" s="4" t="inlineStr"/>
      <c r="N27" t="inlineStr"/>
      <c r="O27" s="4" t="inlineStr"/>
    </row>
    <row r="28">
      <c r="A28" t="inlineStr">
        <is>
          <t>FHD-US|2026-09|MoM|6400</t>
        </is>
      </c>
      <c r="B28" t="inlineStr">
        <is>
          <t>FHD-US</t>
        </is>
      </c>
      <c r="C28" t="inlineStr">
        <is>
          <t>2026-09</t>
        </is>
      </c>
      <c r="D28" t="inlineStr">
        <is>
          <t>MoM</t>
        </is>
      </c>
      <c r="E28" t="inlineStr">
        <is>
          <t>6400 Depreciation</t>
        </is>
      </c>
      <c r="F28" s="2" t="n">
        <v>129000</v>
      </c>
      <c r="G28" s="2" t="n">
        <v>131000</v>
      </c>
      <c r="H28" s="2" t="n">
        <v>2000</v>
      </c>
      <c r="I28" s="3" t="n">
        <v>0.015504</v>
      </c>
      <c r="J28" s="4" t="inlineStr">
        <is>
          <t>In line.</t>
        </is>
      </c>
      <c r="K28" t="inlineStr"/>
      <c r="L28" t="inlineStr"/>
      <c r="M28" s="4" t="inlineStr"/>
      <c r="N28" t="inlineStr"/>
      <c r="O28" s="4" t="inlineStr"/>
    </row>
    <row r="29">
      <c r="A29" t="inlineStr">
        <is>
          <t>FHD-US|2026-09|MoM|6410</t>
        </is>
      </c>
      <c r="B29" t="inlineStr">
        <is>
          <t>FHD-US</t>
        </is>
      </c>
      <c r="C29" t="inlineStr">
        <is>
          <t>2026-09</t>
        </is>
      </c>
      <c r="D29" t="inlineStr">
        <is>
          <t>MoM</t>
        </is>
      </c>
      <c r="E29" t="inlineStr">
        <is>
          <t>6410 Amortization of capitalized software</t>
        </is>
      </c>
      <c r="F29" s="2" t="n">
        <v>83000</v>
      </c>
      <c r="G29" s="2" t="n">
        <v>83000</v>
      </c>
      <c r="H29" s="2" t="n">
        <v>0</v>
      </c>
      <c r="I29" s="3" t="n">
        <v>0</v>
      </c>
      <c r="J29" s="4" t="inlineStr">
        <is>
          <t>Flat; Pipeline 3.0 amortization continues.</t>
        </is>
      </c>
      <c r="K29" t="inlineStr"/>
      <c r="L29" t="inlineStr"/>
      <c r="M29" s="4" t="inlineStr"/>
      <c r="N29" t="inlineStr"/>
      <c r="O29" s="4" t="inlineStr"/>
    </row>
    <row r="30">
      <c r="A30" t="inlineStr">
        <is>
          <t>FHD-US|2026-09|MoM|6500</t>
        </is>
      </c>
      <c r="B30" t="inlineStr">
        <is>
          <t>FHD-US</t>
        </is>
      </c>
      <c r="C30" t="inlineStr">
        <is>
          <t>2026-09</t>
        </is>
      </c>
      <c r="D30" t="inlineStr">
        <is>
          <t>MoM</t>
        </is>
      </c>
      <c r="E30" t="inlineStr">
        <is>
          <t>6500 Payroll taxes</t>
        </is>
      </c>
      <c r="F30" s="2" t="n">
        <v>301000</v>
      </c>
      <c r="G30" s="2" t="n">
        <v>270000</v>
      </c>
      <c r="H30" s="2" t="n">
        <v>-31000</v>
      </c>
      <c r="I30" s="3" t="n">
        <v>-0.10299</v>
      </c>
      <c r="J30" s="4" t="inlineStr">
        <is>
          <t>Down $31K: more engineers passed the Social Security wage base in September, cutting employer FICA. This continues through December. See payroll register PR-0930.</t>
        </is>
      </c>
      <c r="K30" t="inlineStr"/>
      <c r="L30" t="inlineStr"/>
      <c r="M30" s="4" t="inlineStr"/>
      <c r="N30" t="inlineStr"/>
      <c r="O30" s="4" t="inlineStr"/>
    </row>
    <row r="31">
      <c r="A31" t="inlineStr">
        <is>
          <t>FHD-US|2026-09|MoM|6510</t>
        </is>
      </c>
      <c r="B31" t="inlineStr">
        <is>
          <t>FHD-US</t>
        </is>
      </c>
      <c r="C31" t="inlineStr">
        <is>
          <t>2026-09</t>
        </is>
      </c>
      <c r="D31" t="inlineStr">
        <is>
          <t>MoM</t>
        </is>
      </c>
      <c r="E31" t="inlineStr">
        <is>
          <t>6510 Employee benefits</t>
        </is>
      </c>
      <c r="F31" s="2" t="n">
        <v>333000</v>
      </c>
      <c r="G31" s="2" t="n">
        <v>336000</v>
      </c>
      <c r="H31" s="2" t="n">
        <v>3000</v>
      </c>
      <c r="I31" s="3" t="n">
        <v>0.009009</v>
      </c>
      <c r="J31" s="4" t="inlineStr"/>
      <c r="K31" t="inlineStr"/>
      <c r="L31" t="inlineStr"/>
      <c r="M31" s="4" t="inlineStr"/>
      <c r="N31" t="inlineStr"/>
      <c r="O31" s="4" t="inlineStr"/>
    </row>
    <row r="32">
      <c r="A32" t="inlineStr">
        <is>
          <t>FHD-US|2026-09|MoM|7000</t>
        </is>
      </c>
      <c r="B32" t="inlineStr">
        <is>
          <t>FHD-US</t>
        </is>
      </c>
      <c r="C32" t="inlineStr">
        <is>
          <t>2026-09</t>
        </is>
      </c>
      <c r="D32" t="inlineStr">
        <is>
          <t>MoM</t>
        </is>
      </c>
      <c r="E32" t="inlineStr">
        <is>
          <t>7000 Interest income</t>
        </is>
      </c>
      <c r="F32" s="2" t="n">
        <v>49000</v>
      </c>
      <c r="G32" s="2" t="n">
        <v>44000</v>
      </c>
      <c r="H32" s="2" t="n">
        <v>-5000</v>
      </c>
      <c r="I32" s="3" t="n">
        <v>-0.102041</v>
      </c>
      <c r="J32" s="4" t="inlineStr">
        <is>
          <t>Lower interest income.</t>
        </is>
      </c>
      <c r="K32" t="inlineStr"/>
      <c r="L32" t="inlineStr"/>
      <c r="M32" s="4" t="inlineStr"/>
      <c r="N32" t="inlineStr"/>
      <c r="O32" s="4" t="inlineStr"/>
    </row>
    <row r="33">
      <c r="A33" t="inlineStr">
        <is>
          <t>FHD-US|2026-09|MoM|7100</t>
        </is>
      </c>
      <c r="B33" t="inlineStr">
        <is>
          <t>FHD-US</t>
        </is>
      </c>
      <c r="C33" t="inlineStr">
        <is>
          <t>2026-09</t>
        </is>
      </c>
      <c r="D33" t="inlineStr">
        <is>
          <t>MoM</t>
        </is>
      </c>
      <c r="E33" t="inlineStr">
        <is>
          <t>7100 FX (gain) loss</t>
        </is>
      </c>
      <c r="F33" s="2" t="n">
        <v>8000</v>
      </c>
      <c r="G33" s="2" t="n">
        <v>43000</v>
      </c>
      <c r="H33" s="2" t="n">
        <v>35000</v>
      </c>
      <c r="I33" s="3" t="n">
        <v>4.375</v>
      </c>
      <c r="J33" s="4" t="inlineStr">
        <is>
          <t>FX loss grew $35K as sterling strengthened again in September, from 1.28 to 1.31, revaluing the GBP intercompany payable. It moves with every rate change. See FX revaluation JE 9-140.</t>
        </is>
      </c>
      <c r="K33" t="inlineStr"/>
      <c r="L33" t="inlineStr"/>
      <c r="M33" s="4" t="inlineStr"/>
      <c r="N33" t="inlineStr"/>
      <c r="O33" s="4" t="inlineStr"/>
    </row>
    <row r="34">
      <c r="A34" t="inlineStr">
        <is>
          <t>FHD-US|2026-09|MoM|1200</t>
        </is>
      </c>
      <c r="B34" t="inlineStr">
        <is>
          <t>FHD-US</t>
        </is>
      </c>
      <c r="C34" t="inlineStr">
        <is>
          <t>2026-09</t>
        </is>
      </c>
      <c r="D34" t="inlineStr">
        <is>
          <t>MoM</t>
        </is>
      </c>
      <c r="E34" t="inlineStr">
        <is>
          <t>1200 Accounts receivable</t>
        </is>
      </c>
      <c r="F34" s="2" t="n">
        <v>7598000</v>
      </c>
      <c r="G34" s="2" t="n">
        <v>7410000</v>
      </c>
      <c r="H34" s="2" t="n">
        <v>-188000</v>
      </c>
      <c r="I34" s="3" t="n">
        <v>-0.024743</v>
      </c>
      <c r="J34" s="4" t="inlineStr">
        <is>
          <t>AR fell $188K as Cobalt Insurance paid its July and August invoices ($0.25M and $0.12M) on Sep 12, partly offset by September billings.</t>
        </is>
      </c>
      <c r="K34" t="inlineStr"/>
      <c r="L34" t="inlineStr"/>
      <c r="M34" s="4" t="inlineStr"/>
      <c r="N34" t="inlineStr"/>
      <c r="O34" s="4" t="inlineStr"/>
    </row>
    <row r="35">
      <c r="A35" t="inlineStr">
        <is>
          <t>FHD-US|2026-09|MoM|1400</t>
        </is>
      </c>
      <c r="B35" t="inlineStr">
        <is>
          <t>FHD-US</t>
        </is>
      </c>
      <c r="C35" t="inlineStr">
        <is>
          <t>2026-09</t>
        </is>
      </c>
      <c r="D35" t="inlineStr">
        <is>
          <t>MoM</t>
        </is>
      </c>
      <c r="E35" t="inlineStr">
        <is>
          <t>1400 Prepaid expenses</t>
        </is>
      </c>
      <c r="F35" s="2" t="n">
        <v>668000</v>
      </c>
      <c r="G35" s="2" t="n">
        <v>619000</v>
      </c>
      <c r="H35" s="2" t="n">
        <v>-49000</v>
      </c>
      <c r="I35" s="3" t="n">
        <v>-0.073353</v>
      </c>
      <c r="J35" s="4" t="inlineStr">
        <is>
          <t>Down $49K from monthly amortization of the D&amp;O premium ($9K), the Codehaven license ($11K) and other contracts ($24K), plus the Meridian Atlas prepayment we expensed at renewal ($5K). Amortization recurs monthly. See the prepaid roll-forward.</t>
        </is>
      </c>
      <c r="K35" t="inlineStr"/>
      <c r="L35" t="inlineStr"/>
      <c r="M35" s="4" t="inlineStr"/>
      <c r="N35" t="inlineStr"/>
      <c r="O35" s="4" t="inlineStr"/>
    </row>
    <row r="36">
      <c r="A36" t="inlineStr">
        <is>
          <t>FHD-US|2026-09|MoM|2100</t>
        </is>
      </c>
      <c r="B36" t="inlineStr">
        <is>
          <t>FHD-US</t>
        </is>
      </c>
      <c r="C36" t="inlineStr">
        <is>
          <t>2026-09</t>
        </is>
      </c>
      <c r="D36" t="inlineStr">
        <is>
          <t>MoM</t>
        </is>
      </c>
      <c r="E36" t="inlineStr">
        <is>
          <t>2100 Accrued expenses</t>
        </is>
      </c>
      <c r="F36" s="2" t="n">
        <v>1388000</v>
      </c>
      <c r="G36" s="2" t="n">
        <v>1431000</v>
      </c>
      <c r="H36" s="2" t="n">
        <v>43000</v>
      </c>
      <c r="I36" s="3" t="n">
        <v>0.03098</v>
      </c>
      <c r="J36" s="4" t="inlineStr">
        <is>
          <t>Up $43K: we accrued Ashgrove Assurance's SOC 2 fieldwork not yet billed ($31K) and Q3 commission accelerators payable in October ($12K). Both reverse when paid in October. See the September accrual schedule AS-09.</t>
        </is>
      </c>
      <c r="K36" t="inlineStr"/>
      <c r="L36" t="inlineStr"/>
      <c r="M36" s="4" t="inlineStr"/>
      <c r="N36" t="inlineStr"/>
      <c r="O36" s="4" t="inlineStr"/>
    </row>
    <row r="37">
      <c r="A37" t="inlineStr">
        <is>
          <t>FHD-US|2026-09|MoM|2400</t>
        </is>
      </c>
      <c r="B37" t="inlineStr">
        <is>
          <t>FHD-US</t>
        </is>
      </c>
      <c r="C37" t="inlineStr">
        <is>
          <t>2026-09</t>
        </is>
      </c>
      <c r="D37" t="inlineStr">
        <is>
          <t>MoM</t>
        </is>
      </c>
      <c r="E37" t="inlineStr">
        <is>
          <t>2400 Deferred revenue</t>
        </is>
      </c>
      <c r="F37" s="2" t="n">
        <v>10470000</v>
      </c>
      <c r="G37" s="2" t="n">
        <v>10322000</v>
      </c>
      <c r="H37" s="2" t="n">
        <v>-148000</v>
      </c>
      <c r="I37" s="3" t="n">
        <v>-0.014136</v>
      </c>
      <c r="J37" s="4" t="inlineStr">
        <is>
          <t>Down $148K from recognizing Orion Freight's annual contract ($135K) and the Kittiwake Logistics onboarding fee ($13K). No new annual billings in September; it burns down monthly. See the deferred revenue roll-forward.</t>
        </is>
      </c>
      <c r="K37" t="inlineStr"/>
      <c r="L37" t="inlineStr"/>
      <c r="M37" s="4" t="inlineStr"/>
      <c r="N37" t="inlineStr"/>
      <c r="O37" s="4" t="inlineStr"/>
    </row>
    <row r="38">
      <c r="A38" t="inlineStr">
        <is>
          <t>FHD-UK|2026-09|MoM|4000</t>
        </is>
      </c>
      <c r="B38" t="inlineStr">
        <is>
          <t>FHD-UK</t>
        </is>
      </c>
      <c r="C38" t="inlineStr">
        <is>
          <t>2026-09</t>
        </is>
      </c>
      <c r="D38" t="inlineStr">
        <is>
          <t>MoM</t>
        </is>
      </c>
      <c r="E38" t="inlineStr">
        <is>
          <t>4000 Subscription revenue</t>
        </is>
      </c>
      <c r="F38" s="2" t="n">
        <v>655000</v>
      </c>
      <c r="G38" s="2" t="n">
        <v>661000</v>
      </c>
      <c r="H38" s="2" t="n">
        <v>6000</v>
      </c>
      <c r="I38" s="3" t="n">
        <v>0.00916</v>
      </c>
      <c r="J38" s="4" t="inlineStr">
        <is>
          <t>Small seat expansion at Kittiwake.</t>
        </is>
      </c>
      <c r="K38" t="inlineStr"/>
      <c r="L38" t="inlineStr"/>
      <c r="M38" s="4" t="inlineStr"/>
      <c r="N38" t="inlineStr"/>
      <c r="O38" s="4" t="inlineStr"/>
    </row>
    <row r="39">
      <c r="A39" t="inlineStr">
        <is>
          <t>FHD-UK|2026-09|MoM|6000</t>
        </is>
      </c>
      <c r="B39" t="inlineStr">
        <is>
          <t>FHD-UK</t>
        </is>
      </c>
      <c r="C39" t="inlineStr">
        <is>
          <t>2026-09</t>
        </is>
      </c>
      <c r="D39" t="inlineStr">
        <is>
          <t>MoM</t>
        </is>
      </c>
      <c r="E39" t="inlineStr">
        <is>
          <t>6000 Engineering salaries</t>
        </is>
      </c>
      <c r="F39" s="2" t="n">
        <v>315000</v>
      </c>
      <c r="G39" s="2" t="n">
        <v>341000</v>
      </c>
      <c r="H39" s="2" t="n">
        <v>26000</v>
      </c>
      <c r="I39" s="3" t="n">
        <v>0.08254</v>
      </c>
      <c r="J39" s="4" t="inlineStr">
        <is>
          <t>Up $26K: a senior data engineer joined the London team on Sep 1 (placed by Fenwick Talent, $15K a month), and the UK salary review took effect the same day ($11K). Both recurring. See UK headcount report HC-UK-09.</t>
        </is>
      </c>
      <c r="K39" t="inlineStr"/>
      <c r="L39" t="inlineStr"/>
      <c r="M39" s="4" t="inlineStr"/>
      <c r="N39" t="inlineStr"/>
      <c r="O39" s="4" t="inlineStr"/>
    </row>
    <row r="40">
      <c r="A40" t="inlineStr">
        <is>
          <t>FHD-UK|2026-09|MoM|6350</t>
        </is>
      </c>
      <c r="B40" t="inlineStr">
        <is>
          <t>FHD-UK</t>
        </is>
      </c>
      <c r="C40" t="inlineStr">
        <is>
          <t>2026-09</t>
        </is>
      </c>
      <c r="D40" t="inlineStr">
        <is>
          <t>MoM</t>
        </is>
      </c>
      <c r="E40" t="inlineStr">
        <is>
          <t>6350 Rent and facilities</t>
        </is>
      </c>
      <c r="F40" s="2" t="n">
        <v>58000</v>
      </c>
      <c r="G40" s="2" t="n">
        <v>64000</v>
      </c>
      <c r="H40" s="2" t="n">
        <v>6000</v>
      </c>
      <c r="I40" s="3" t="n">
        <v>0.103448</v>
      </c>
      <c r="J40" s="4" t="inlineStr">
        <is>
          <t>The London office service charge rose at the annual review on Sep 1, adding $6K a month. Recurring. See the landlord's service charge notice SC-2026.</t>
        </is>
      </c>
      <c r="K40" t="inlineStr"/>
      <c r="L40" t="inlineStr"/>
      <c r="M40" s="4" t="inlineStr"/>
      <c r="N40" t="inlineStr"/>
      <c r="O40" s="4" t="inlineStr"/>
    </row>
    <row r="41">
      <c r="A41" t="inlineStr">
        <is>
          <t>FHD-UK|2026-09|MoM|6360</t>
        </is>
      </c>
      <c r="B41" t="inlineStr">
        <is>
          <t>FHD-UK</t>
        </is>
      </c>
      <c r="C41" t="inlineStr">
        <is>
          <t>2026-09</t>
        </is>
      </c>
      <c r="D41" t="inlineStr">
        <is>
          <t>MoM</t>
        </is>
      </c>
      <c r="E41" t="inlineStr">
        <is>
          <t>6360 Travel and entertainment</t>
        </is>
      </c>
      <c r="F41" s="2" t="n">
        <v>41000</v>
      </c>
      <c r="G41" s="2" t="n">
        <v>26000</v>
      </c>
      <c r="H41" s="2" t="n">
        <v>-15000</v>
      </c>
      <c r="I41" s="3" t="n">
        <v>-0.365854</v>
      </c>
      <c r="J41" s="4" t="inlineStr">
        <is>
          <t>Down $15K because August included the Kittiwake Logistics onsite in Leeds; September travel was routine and should stay there. See expense report ER-UK-09.</t>
        </is>
      </c>
      <c r="K41" t="inlineStr"/>
      <c r="L41" t="inlineStr"/>
      <c r="M41" s="4" t="inlineStr"/>
      <c r="N41" t="inlineStr"/>
      <c r="O4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46" customWidth="1" min="4" max="4"/>
    <col width="34" customWidth="1" min="5" max="5"/>
    <col width="46" customWidth="1" min="6" max="6"/>
    <col width="12" customWidth="1" min="7" max="7"/>
    <col width="13" customWidth="1" min="8" max="8"/>
    <col width="10" customWidth="1" min="9" max="9"/>
    <col width="16" customWidth="1" min="10" max="10"/>
    <col width="9" customWidth="1" min="11" max="11"/>
  </cols>
  <sheetData>
    <row r="1">
      <c r="A1" s="1" t="inlineStr">
        <is>
          <t>ID</t>
        </is>
      </c>
      <c r="B1" s="1" t="inlineStr">
        <is>
          <t>Criterion</t>
        </is>
      </c>
      <c r="C1" s="1" t="inlineStr">
        <is>
          <t>Passes when</t>
        </is>
      </c>
      <c r="D1" s="1" t="inlineStr">
        <is>
          <t>Feedback when failed</t>
        </is>
      </c>
      <c r="E1" s="1" t="inlineStr">
        <is>
          <t>Why it matters</t>
        </is>
      </c>
      <c r="F1" s="1" t="inlineStr">
        <is>
          <t>Example of good</t>
        </is>
      </c>
      <c r="G1" s="1" t="inlineStr">
        <is>
          <t>Owner</t>
        </is>
      </c>
      <c r="H1" s="1" t="inlineStr">
        <is>
          <t>Last reviewed</t>
        </is>
      </c>
      <c r="I1" s="1" t="inlineStr">
        <is>
          <t>Threshold</t>
        </is>
      </c>
      <c r="J1" s="1" t="inlineStr">
        <is>
          <t>Calibration status</t>
        </is>
      </c>
      <c r="K1" s="1" t="inlineStr">
        <is>
          <t>Active (Y/N)</t>
        </is>
      </c>
    </row>
    <row r="2">
      <c r="A2" t="inlineStr">
        <is>
          <t>C1</t>
        </is>
      </c>
      <c r="B2" s="4" t="inlineStr">
        <is>
          <t>Names a specific driver</t>
        </is>
      </c>
      <c r="C2" s="4" t="inlineStr">
        <is>
          <t>Names the specific cause of the change, identified well enough that a reviewer could look it up: which customer, vendor, contract, hire or event, and what changed with it. Fails when the cause is a category ("timing", "growth", "higher volume"), even with an amount or dates attached, or when the only name given is where the cost was booked or who billed it.</t>
        </is>
      </c>
      <c r="D2" s="4" t="inlineStr">
        <is>
          <t>Name the specific vendor, contract, hire, customer, or event that drove this movement.</t>
        </is>
      </c>
      <c r="E2" s="4" t="inlineStr">
        <is>
          <t>A category can't be checked; a driver can</t>
        </is>
      </c>
      <c r="F2" s="4" t="inlineStr">
        <is>
          <t>Up $65K: Bluewater Health's one-time backfill ran on our Stratus Compute account (invoice SC-0731).</t>
        </is>
      </c>
      <c r="G2" t="inlineStr">
        <is>
          <t>Controller</t>
        </is>
      </c>
      <c r="H2" t="inlineStr">
        <is>
          <t>2026-09-08</t>
        </is>
      </c>
      <c r="I2" t="inlineStr">
        <is>
          <t>0.43</t>
        </is>
      </c>
      <c r="J2" t="inlineStr">
        <is>
          <t>Calibrated</t>
        </is>
      </c>
      <c r="K2" t="inlineStr">
        <is>
          <t>Y</t>
        </is>
      </c>
    </row>
    <row r="3">
      <c r="A3" t="inlineStr">
        <is>
          <t>C2</t>
        </is>
      </c>
      <c r="B3" s="4" t="inlineStr">
        <is>
          <t>Explains why, not just what</t>
        </is>
      </c>
      <c r="C3" s="4" t="inlineStr">
        <is>
          <t>Says what changed in the business, not only which account moved</t>
        </is>
      </c>
      <c r="D3" s="4" t="inlineStr">
        <is>
          <t>Tell me what changed in the business, not just which account moved.</t>
        </is>
      </c>
      <c r="E3" s="4" t="inlineStr">
        <is>
          <t>The reviewer already sees what moved</t>
        </is>
      </c>
      <c r="F3" s="4" t="inlineStr">
        <is>
          <t>Down $25K because we paused the pipeline-monitoring campaign after two quarters of high cost per lead.</t>
        </is>
      </c>
      <c r="G3" t="inlineStr">
        <is>
          <t>Controller</t>
        </is>
      </c>
      <c r="H3" t="inlineStr">
        <is>
          <t>2026-09-08</t>
        </is>
      </c>
      <c r="I3" t="inlineStr">
        <is>
          <t>0.84</t>
        </is>
      </c>
      <c r="J3" t="inlineStr">
        <is>
          <t>Calibrated</t>
        </is>
      </c>
      <c r="K3" t="inlineStr">
        <is>
          <t>Y</t>
        </is>
      </c>
    </row>
    <row r="4">
      <c r="A4" t="inlineStr">
        <is>
          <t>C3</t>
        </is>
      </c>
      <c r="B4" s="4" t="inlineStr">
        <is>
          <t>Separates one-time from recurring</t>
        </is>
      </c>
      <c r="C4" s="4" t="inlineStr">
        <is>
          <t>States whether the driver repeats next period</t>
        </is>
      </c>
      <c r="D4" s="4" t="inlineStr">
        <is>
          <t>Will this repeat next period? Say whether it's one-time or recurring.</t>
        </is>
      </c>
      <c r="E4" s="4" t="inlineStr">
        <is>
          <t>Drives whether forecasts should change</t>
        </is>
      </c>
      <c r="F4" s="4" t="inlineStr">
        <is>
          <t>One-time: the backfill finished Jul 19, so August returns to the run rate.</t>
        </is>
      </c>
      <c r="G4" t="inlineStr">
        <is>
          <t>Controller</t>
        </is>
      </c>
      <c r="H4" t="inlineStr">
        <is>
          <t>2026-09-08</t>
        </is>
      </c>
      <c r="I4" t="inlineStr">
        <is>
          <t>0.15</t>
        </is>
      </c>
      <c r="J4" t="inlineStr">
        <is>
          <t>Calibrated</t>
        </is>
      </c>
      <c r="K4" t="inlineStr">
        <is>
          <t>Y</t>
        </is>
      </c>
    </row>
    <row r="5">
      <c r="A5" t="inlineStr">
        <is>
          <t>C4</t>
        </is>
      </c>
      <c r="B5" s="4" t="inlineStr">
        <is>
          <t>Points to evidence</t>
        </is>
      </c>
      <c r="C5" s="4" t="inlineStr">
        <is>
          <t>References something a reviewer could pull: invoice, JE, contract, headcount report</t>
        </is>
      </c>
      <c r="D5" s="4" t="inlineStr">
        <is>
          <t>Point me to something I can pull: the invoice, JE, contract, or headcount report.</t>
        </is>
      </c>
      <c r="E5" s="4" t="inlineStr">
        <is>
          <t>Makes the review a check, not a conversation</t>
        </is>
      </c>
      <c r="F5" s="4" t="inlineStr">
        <is>
          <t>See Stratus invoice SC-0731 and JE 7-114.</t>
        </is>
      </c>
      <c r="G5" t="inlineStr">
        <is>
          <t>Controller</t>
        </is>
      </c>
      <c r="H5" t="inlineStr">
        <is>
          <t>2026-09-08</t>
        </is>
      </c>
      <c r="I5" t="inlineStr">
        <is>
          <t>0.74</t>
        </is>
      </c>
      <c r="J5" t="inlineStr">
        <is>
          <t>Calibrated</t>
        </is>
      </c>
      <c r="K5" t="inlineStr">
        <is>
          <t>Y</t>
        </is>
      </c>
    </row>
    <row r="6">
      <c r="A6" t="inlineStr">
        <is>
          <t>C5</t>
        </is>
      </c>
      <c r="B6" s="4" t="inlineStr">
        <is>
          <t>Sizes each driver</t>
        </is>
      </c>
      <c r="C6" s="4" t="inlineStr">
        <is>
          <t>Gives an amount or share for each driver named, or says what is still unexplained</t>
        </is>
      </c>
      <c r="D6" s="4" t="inlineStr">
        <is>
          <t>Put a number on each driver, or say how much is still unexplained.</t>
        </is>
      </c>
      <c r="E6" s="4" t="inlineStr">
        <is>
          <t>Gives the arithmetic check something to test and makes a partial explanation visible</t>
        </is>
      </c>
      <c r="F6" s="4" t="inlineStr">
        <is>
          <t>Orion Freight $135K, Cobalt seats $41K, renewal uplifts $12K: $188K in total.</t>
        </is>
      </c>
      <c r="G6" t="inlineStr">
        <is>
          <t>Controller</t>
        </is>
      </c>
      <c r="H6" t="inlineStr">
        <is>
          <t>2026-06-12</t>
        </is>
      </c>
      <c r="I6" t="inlineStr">
        <is>
          <t>0.36</t>
        </is>
      </c>
      <c r="J6" t="inlineStr">
        <is>
          <t>Calibrated</t>
        </is>
      </c>
      <c r="K6" t="inlineStr">
        <is>
          <t>Y</t>
        </is>
      </c>
    </row>
    <row r="7">
      <c r="A7" t="inlineStr">
        <is>
          <t>RESTATE</t>
        </is>
      </c>
      <c r="B7" s="4" t="inlineStr">
        <is>
          <t>Says more than the row</t>
        </is>
      </c>
      <c r="C7" s="4" t="inlineStr">
        <is>
          <t>Adds something beyond the figures already in the row: more than the account name, the direction of the change, and its size</t>
        </is>
      </c>
      <c r="D7" s="4" t="inlineStr">
        <is>
          <t>This repeats the numbers already in the row. Tell me what happened, not what moved.</t>
        </is>
      </c>
      <c r="E7" s="4" t="inlineStr">
        <is>
          <t>The row already shows the numbers</t>
        </is>
      </c>
      <c r="F7" s="4" t="inlineStr">
        <is>
          <t>Names what happened (a customer backfill, a price change), not just that hosting rose $65K.</t>
        </is>
      </c>
      <c r="G7" t="inlineStr">
        <is>
          <t>System</t>
        </is>
      </c>
      <c r="H7" t="inlineStr">
        <is>
          <t>2026-09-08</t>
        </is>
      </c>
      <c r="I7" t="inlineStr">
        <is>
          <t>0.85</t>
        </is>
      </c>
      <c r="J7" t="inlineStr">
        <is>
          <t>Calibrated</t>
        </is>
      </c>
      <c r="K7" t="inlineStr">
        <is>
          <t>Y</t>
        </is>
      </c>
    </row>
    <row r="8">
      <c r="A8" t="inlineStr">
        <is>
          <t>ARITH</t>
        </is>
      </c>
      <c r="B8" s="4" t="inlineStr">
        <is>
          <t>Amounts add up</t>
        </is>
      </c>
      <c r="C8" s="4" t="inlineStr">
        <is>
          <t>The amounts cited for the drivers sum to the variance, within the tolerance in Settings (rule in code; not editable here)</t>
        </is>
      </c>
      <c r="D8" s="4" t="inlineStr">
        <is>
          <t>The amounts you cite don't add up to the variance. Check each driver's amount, or say how much is still unexplained.</t>
        </is>
      </c>
      <c r="E8" s="4" t="inlineStr">
        <is>
          <t>A partial or mistyped explanation should be visible before review</t>
        </is>
      </c>
      <c r="F8" s="4" t="inlineStr">
        <is>
          <t>Drivers of $52K and $13K for a $65K variance.</t>
        </is>
      </c>
      <c r="G8" t="inlineStr">
        <is>
          <t>System</t>
        </is>
      </c>
      <c r="H8" t="inlineStr">
        <is>
          <t>2026-09-08</t>
        </is>
      </c>
      <c r="I8" t="inlineStr">
        <is>
          <t>n/a</t>
        </is>
      </c>
      <c r="J8" t="inlineStr">
        <is>
          <t>Deterministic</t>
        </is>
      </c>
      <c r="K8" t="inlineStr">
        <is>
          <t>Y</t>
        </is>
      </c>
    </row>
    <row r="9">
      <c r="A9" t="inlineStr">
        <is>
          <t>DUP</t>
        </is>
      </c>
      <c r="B9" s="4" t="inlineStr">
        <is>
          <t>Not copied from another line</t>
        </is>
      </c>
      <c r="C9" s="4" t="inlineStr">
        <is>
          <t>The commentary is not identical to another line's in the same close (rule in code; not editable here)</t>
        </is>
      </c>
      <c r="D9" s="4" t="inlineStr">
        <is>
          <t>This is word for word the same as another line. Explain what drove this account specifically.</t>
        </is>
      </c>
      <c r="E9" s="4" t="inlineStr">
        <is>
          <t>Copied text explains neither line</t>
        </is>
      </c>
      <c r="F9" s="4" t="inlineStr">
        <is>
          <t>Each line names its own driver.</t>
        </is>
      </c>
      <c r="G9" t="inlineStr">
        <is>
          <t>System</t>
        </is>
      </c>
      <c r="H9" t="inlineStr">
        <is>
          <t>2026-09-08</t>
        </is>
      </c>
      <c r="I9" t="inlineStr">
        <is>
          <t>n/a</t>
        </is>
      </c>
      <c r="J9" t="inlineStr">
        <is>
          <t>Deterministic</t>
        </is>
      </c>
      <c r="K9" t="inlineStr">
        <is>
          <t>Y</t>
        </is>
      </c>
    </row>
    <row r="10">
      <c r="A10" t="inlineStr">
        <is>
          <t>NEAR</t>
        </is>
      </c>
      <c r="B10" s="4" t="inlineStr">
        <is>
          <t>Not a template</t>
        </is>
      </c>
      <c r="C10" s="4" t="inlineStr">
        <is>
          <t>The commentary is not nearly identical to another line's; similarity threshold in Settings (rule in code)</t>
        </is>
      </c>
      <c r="D10" s="4" t="inlineStr">
        <is>
          <t>This reads almost the same as another line. Make sure it explains this account's movement, not a shared template.</t>
        </is>
      </c>
      <c r="E10" s="4" t="inlineStr">
        <is>
          <t>Templates hide the differences between accounts</t>
        </is>
      </c>
      <c r="F10" s="4" t="inlineStr">
        <is>
          <t>Two salary lines that each name their own hires.</t>
        </is>
      </c>
      <c r="G10" t="inlineStr">
        <is>
          <t>System</t>
        </is>
      </c>
      <c r="H10" t="inlineStr">
        <is>
          <t>2026-09-08</t>
        </is>
      </c>
      <c r="I10" t="inlineStr">
        <is>
          <t>Settings</t>
        </is>
      </c>
      <c r="J10" t="inlineStr">
        <is>
          <t>Heuristic</t>
        </is>
      </c>
      <c r="K10" t="inlineStr">
        <is>
          <t>Y</t>
        </is>
      </c>
    </row>
  </sheetData>
  <dataValidations count="1">
    <dataValidation sqref="K2:K2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Materiality ($)</t>
        </is>
      </c>
      <c r="B2" s="5" t="n">
        <v>25000</v>
      </c>
      <c r="C2" t="inlineStr">
        <is>
          <t>A line is skipped when its $ variance is under this AND its % variance is under Materiality (%). Equal counts as material.</t>
        </is>
      </c>
    </row>
    <row r="3">
      <c r="A3" t="inlineStr">
        <is>
          <t>Materiality (%)</t>
        </is>
      </c>
      <c r="B3" s="6" t="n">
        <v>0.1</v>
      </c>
      <c r="C3" t="inlineStr">
        <is>
          <t>When Prior is zero the % variance is undefined and the $ test decides alone.</t>
        </is>
      </c>
    </row>
    <row r="4">
      <c r="A4" t="inlineStr">
        <is>
          <t>Pinned model version</t>
        </is>
      </c>
      <c r="B4" t="inlineStr">
        <is>
          <t>jev-1.13.0</t>
        </is>
      </c>
      <c r="C4" t="inlineStr">
        <is>
          <t>Must match the service's pin. A mismatch is reported as an error; it never switches the model.</t>
        </is>
      </c>
    </row>
    <row r="5">
      <c r="A5" t="inlineStr">
        <is>
          <t>Health: never-fails rate</t>
        </is>
      </c>
      <c r="B5" s="6" t="n">
        <v>0.05</v>
      </c>
      <c r="C5" t="inlineStr">
        <is>
          <t>Prompt when a criterion's first-attempt fail rate is at or below this.</t>
        </is>
      </c>
    </row>
    <row r="6">
      <c r="A6" t="inlineStr">
        <is>
          <t>Health: always-fails rate</t>
        </is>
      </c>
      <c r="B6" s="6" t="n">
        <v>0.6</v>
      </c>
      <c r="C6" t="inlineStr">
        <is>
          <t>Prompt when a criterion's first-attempt fail rate is at or above this.</t>
        </is>
      </c>
    </row>
    <row r="7">
      <c r="A7" t="inlineStr">
        <is>
          <t>Health: near-threshold band</t>
        </is>
      </c>
      <c r="B7" s="7" t="n">
        <v>0.05</v>
      </c>
      <c r="C7" t="inlineStr">
        <is>
          <t>Jev probabilities within this distance of the criterion's threshold count as near it. Jev's call-to-call spread is about 0.01, so 0.05 is close enough that a rerun could flip the verdict.</t>
        </is>
      </c>
    </row>
    <row r="8">
      <c r="A8" t="inlineStr">
        <is>
          <t>Health: near-threshold share</t>
        </is>
      </c>
      <c r="B8" s="6" t="n">
        <v>0.35</v>
      </c>
      <c r="C8" t="inlineStr">
        <is>
          <t>Prompt when at least this share of a criterion's probabilities sit near its threshold.</t>
        </is>
      </c>
    </row>
    <row r="9">
      <c r="A9" t="inlineStr">
        <is>
          <t>Health: flag-wrong weighted count</t>
        </is>
      </c>
      <c r="B9" t="n">
        <v>3</v>
      </c>
      <c r="C9" t="inlineStr">
        <is>
          <t>Prompt when weighted 'Flag was wrong' overrides on a criterion reach this.</t>
        </is>
      </c>
    </row>
    <row r="10">
      <c r="A10" t="inlineStr">
        <is>
          <t>Health: missed-issue weighted count</t>
        </is>
      </c>
      <c r="B10" t="n">
        <v>3</v>
      </c>
      <c r="C10" t="inlineStr">
        <is>
          <t>Prompt when weighted 'Missed an issue' overrides on a criterion (or 'not covered') reach this.</t>
        </is>
      </c>
    </row>
    <row r="11">
      <c r="A11" t="inlineStr">
        <is>
          <t>Health: reviewer override weight</t>
        </is>
      </c>
      <c r="B11" t="n">
        <v>2</v>
      </c>
      <c r="C11" t="inlineStr">
        <is>
          <t>Reviewer overrides count for more than preparer overrides.</t>
        </is>
      </c>
    </row>
    <row r="12">
      <c r="A12" t="inlineStr">
        <is>
          <t>Health: preparer override weight</t>
        </is>
      </c>
      <c r="B12" t="n">
        <v>1</v>
      </c>
      <c r="C12" t="inlineStr">
        <is>
          <t>A preparer saying a flag is wrong starts a conversation; it still counts.</t>
        </is>
      </c>
    </row>
    <row r="13">
      <c r="A13" t="inlineStr">
        <is>
          <t>Health: stale after (closes)</t>
        </is>
      </c>
      <c r="B13" t="n">
        <v>2</v>
      </c>
      <c r="C13" t="inlineStr">
        <is>
          <t>Prompt when a criterion has not been reviewed in this many closes.</t>
        </is>
      </c>
    </row>
    <row r="14">
      <c r="A14" t="inlineStr">
        <is>
          <t>Health: window (closes)</t>
        </is>
      </c>
      <c r="B14" t="n">
        <v>1</v>
      </c>
      <c r="C14" t="inlineStr">
        <is>
          <t>How many recent closes the Log-based signals read.</t>
        </is>
      </c>
    </row>
    <row r="15">
      <c r="A15" t="inlineStr">
        <is>
          <t>Minimum sample size</t>
        </is>
      </c>
      <c r="B15" t="n">
        <v>20</v>
      </c>
      <c r="C15" t="inlineStr">
        <is>
          <t>No prompt fires until a criterion has at least this many material lines behind it.</t>
        </is>
      </c>
    </row>
    <row r="16">
      <c r="A16" t="inlineStr">
        <is>
          <t>Near-duplicate similarity</t>
        </is>
      </c>
      <c r="B16" s="7" t="n">
        <v>0.85</v>
      </c>
      <c r="C16" t="inlineStr">
        <is>
          <t>Commentary at or above this similarity to another line is flagged as a likely near-duplicate.</t>
        </is>
      </c>
    </row>
    <row r="17">
      <c r="A17" t="inlineStr">
        <is>
          <t>Arithmetic tolerance ($)</t>
        </is>
      </c>
      <c r="B17" s="5" t="n">
        <v>1000</v>
      </c>
      <c r="C17" t="inlineStr">
        <is>
          <t>Cited amounts may miss the variance by the larger of this and Arithmetic tolerance (%), plus the rounding the citation implies.</t>
        </is>
      </c>
    </row>
    <row r="18">
      <c r="A18" t="inlineStr">
        <is>
          <t>Arithmetic tolerance (%)</t>
        </is>
      </c>
      <c r="B18" s="6" t="n">
        <v>0.01</v>
      </c>
      <c r="C18" t="inlineStr">
        <is>
          <t>Share of the variance allowed as tolerance.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Timestamp</t>
        </is>
      </c>
      <c r="B1" s="1" t="inlineStr">
        <is>
          <t>Close period</t>
        </is>
      </c>
      <c r="C1" s="1" t="inlineStr">
        <is>
          <t>Line ID</t>
        </is>
      </c>
      <c r="D1" s="1" t="inlineStr">
        <is>
          <t>Run ID</t>
        </is>
      </c>
      <c r="E1" s="1" t="inlineStr">
        <is>
          <t>Attempt number</t>
        </is>
      </c>
      <c r="F1" s="1" t="inlineStr">
        <is>
          <t>Commentary hash</t>
        </is>
      </c>
      <c r="G1" s="1" t="inlineStr">
        <is>
          <t>Criterion ID</t>
        </is>
      </c>
      <c r="H1" s="1" t="inlineStr">
        <is>
          <t>Result</t>
        </is>
      </c>
      <c r="I1" s="1" t="inlineStr">
        <is>
          <t>Jev probability</t>
        </is>
      </c>
      <c r="J1" s="1" t="inlineStr">
        <is>
          <t>Criterion version</t>
        </is>
      </c>
      <c r="K1" s="1" t="inlineStr">
        <is>
          <t>Question-builder version</t>
        </is>
      </c>
      <c r="L1" s="1" t="inlineStr">
        <is>
          <t>Model version</t>
        </is>
      </c>
      <c r="M1" s="1" t="inlineStr">
        <is>
          <t>Calibration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Criterion ID</t>
        </is>
      </c>
      <c r="B1" s="1" t="inlineStr">
        <is>
          <t>Version</t>
        </is>
      </c>
      <c r="C1" s="1" t="inlineStr">
        <is>
          <t>Changed at</t>
        </is>
      </c>
      <c r="D1" s="1" t="inlineStr">
        <is>
          <t>Changed by</t>
        </is>
      </c>
      <c r="E1" s="1" t="inlineStr">
        <is>
          <t>Fields changed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Calibration impact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Criterion ID</t>
        </is>
      </c>
      <c r="B1" s="1" t="inlineStr">
        <is>
          <t>Criterion</t>
        </is>
      </c>
      <c r="C1" s="1" t="inlineStr">
        <is>
          <t>Signal</t>
        </is>
      </c>
      <c r="D1" s="1" t="inlineStr">
        <is>
          <t>What it suggests</t>
        </is>
      </c>
      <c r="E1" s="1" t="inlineStr">
        <is>
          <t>Evidence</t>
        </is>
      </c>
      <c r="F1" s="1" t="inlineStr">
        <is>
          <t>Close window</t>
        </is>
      </c>
      <c r="G1" s="1" t="inlineStr">
        <is>
          <t>Resolution</t>
        </is>
      </c>
      <c r="H1" s="1" t="inlineStr">
        <is>
          <t>Resolved by</t>
        </is>
      </c>
      <c r="I1" s="1" t="inlineStr">
        <is>
          <t>Resolved at</t>
        </is>
      </c>
      <c r="J1" s="1" t="inlineStr">
        <is>
          <t>Prompt ID</t>
        </is>
      </c>
    </row>
  </sheetData>
  <dataValidations count="1">
    <dataValidation sqref="G2:G200" showDropDown="0" showInputMessage="0" showErrorMessage="0" allowBlank="1" type="list">
      <formula1>"edit,retire,keep"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Criterion ID</t>
        </is>
      </c>
      <c r="B1" s="1" t="inlineStr">
        <is>
          <t>Criterion</t>
        </is>
      </c>
      <c r="C1" s="1" t="inlineStr">
        <is>
          <t>2026-07</t>
        </is>
      </c>
      <c r="D1" s="1" t="inlineStr">
        <is>
          <t>2026-08</t>
        </is>
      </c>
      <c r="E1" s="1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Flux Commentary Coach</dc:creator>
  <dcterms:created xsi:type="dcterms:W3CDTF">2026-10-01T00:00:00Z</dcterms:created>
  <dcterms:modified xsi:type="dcterms:W3CDTF">2026-10-01T00:00:00Z</dcterms:modified>
</cp:coreProperties>
</file>